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folio Overview" sheetId="1" state="visible" r:id="rId3"/>
    <sheet name="Asset Allocation" sheetId="2" state="visible" r:id="rId4"/>
    <sheet name="Category Distribution" sheetId="3" state="visible" r:id="rId5"/>
    <sheet name="Performance Check" sheetId="4" state="visible" r:id="rId6"/>
    <sheet name="Portfolio Snapshot" sheetId="5" state="visible" r:id="rId7"/>
    <sheet name="CAS Transactions Dec-25" sheetId="6" state="visible" r:id="rId8"/>
    <sheet name="Portfolio Trend Dec-24→25" sheetId="7" state="visible" r:id="rId9"/>
    <sheet name="New Allocation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<sst xmlns="http://schemas.openxmlformats.org/spreadsheetml/2006/main" count="339" uniqueCount="187">
  <si>
    <t xml:space="preserve">Portfolio Report – NIRBHIKA ARYA</t>
  </si>
  <si>
    <t xml:space="preserve">Analyzed on</t>
  </si>
  <si>
    <t xml:space="preserve">March 26, 2026</t>
  </si>
  <si>
    <t xml:space="preserve">Investor Type</t>
  </si>
  <si>
    <t xml:space="preserve">Aggressive</t>
  </si>
  <si>
    <t xml:space="preserve">Age Group</t>
  </si>
  <si>
    <t xml:space="preserve">20-35</t>
  </si>
  <si>
    <t xml:space="preserve">PORTFOLIO SUMMARY</t>
  </si>
  <si>
    <t xml:space="preserve">Total Portfolio Value (₹)</t>
  </si>
  <si>
    <t xml:space="preserve">Total Invested (₹)</t>
  </si>
  <si>
    <t xml:space="preserve">Absolute Gain / Loss (₹)</t>
  </si>
  <si>
    <t xml:space="preserve">Overall Return (%)</t>
  </si>
  <si>
    <t xml:space="preserve">Approx 2-Yr CAGR (%)</t>
  </si>
  <si>
    <t xml:space="preserve">Total Schemes</t>
  </si>
  <si>
    <t xml:space="preserve">Total Accounts</t>
  </si>
  <si>
    <t xml:space="preserve">ACCOUNT BREAKDOWN</t>
  </si>
  <si>
    <t xml:space="preserve">Account Type</t>
  </si>
  <si>
    <t xml:space="preserve">Schemes / Count</t>
  </si>
  <si>
    <t xml:space="preserve">Value (₹)</t>
  </si>
  <si>
    <t xml:space="preserve">% of Total</t>
  </si>
  <si>
    <t xml:space="preserve">NSDL Demat Account</t>
  </si>
  <si>
    <t xml:space="preserve">CDSL Demat Account</t>
  </si>
  <si>
    <t xml:space="preserve">Mutual Fund Folios</t>
  </si>
  <si>
    <t xml:space="preserve">TOTAL</t>
  </si>
  <si>
    <t xml:space="preserve">CAS DEC 2025 – SNAPSHOT (Source: NSDL CAS 31-Dec-2025)</t>
  </si>
  <si>
    <t xml:space="preserve">Statement Period</t>
  </si>
  <si>
    <t xml:space="preserve">01-Dec-2025 to 31-Dec-2025</t>
  </si>
  <si>
    <t xml:space="preserve">CAS Portfolio Value (₹)</t>
  </si>
  <si>
    <t xml:space="preserve">37,85,197.27</t>
  </si>
  <si>
    <t xml:space="preserve">Equities (₹)</t>
  </si>
  <si>
    <t xml:space="preserve">99,111.20  (2.62%)</t>
  </si>
  <si>
    <t xml:space="preserve">Mutual Fund Folios (₹)</t>
  </si>
  <si>
    <t xml:space="preserve">36,86,086.07  (97.38%)</t>
  </si>
  <si>
    <t xml:space="preserve">NSDL Demat (ICICI / IN302902)</t>
  </si>
  <si>
    <t xml:space="preserve">77,539.20  |  48 shares of Infosys</t>
  </si>
  <si>
    <t xml:space="preserve">CDSL Demat (Zerodha / 12081601)</t>
  </si>
  <si>
    <t xml:space="preserve">21,572.00  |  Adani Ports + Reliance</t>
  </si>
  <si>
    <t xml:space="preserve">e-Insurance (eIA)</t>
  </si>
  <si>
    <t xml:space="preserve">None with NSDL NIR</t>
  </si>
  <si>
    <t xml:space="preserve">NPS</t>
  </si>
  <si>
    <t xml:space="preserve">Not linked to this CAS</t>
  </si>
  <si>
    <t xml:space="preserve">Asset Allocation Check</t>
  </si>
  <si>
    <t xml:space="preserve">Health Score</t>
  </si>
  <si>
    <t xml:space="preserve">76 / 100</t>
  </si>
  <si>
    <t xml:space="preserve">Category</t>
  </si>
  <si>
    <t xml:space="preserve">Actual (%)</t>
  </si>
  <si>
    <t xml:space="preserve">Ideal (%)</t>
  </si>
  <si>
    <t xml:space="preserve">Difference (%)</t>
  </si>
  <si>
    <t xml:space="preserve">Status</t>
  </si>
  <si>
    <t xml:space="preserve">Equity</t>
  </si>
  <si>
    <t xml:space="preserve">Over</t>
  </si>
  <si>
    <t xml:space="preserve">Debt</t>
  </si>
  <si>
    <t xml:space="preserve">On target</t>
  </si>
  <si>
    <t xml:space="preserve">Hybrid</t>
  </si>
  <si>
    <t xml:space="preserve">Under</t>
  </si>
  <si>
    <t xml:space="preserve">Gold/Silver</t>
  </si>
  <si>
    <t xml:space="preserve">Others</t>
  </si>
  <si>
    <t xml:space="preserve">Category Wise Distribution</t>
  </si>
  <si>
    <t xml:space="preserve">Main Category</t>
  </si>
  <si>
    <t xml:space="preserve">Sub-Category / Type</t>
  </si>
  <si>
    <t xml:space="preserve">Allocation (%)</t>
  </si>
  <si>
    <t xml:space="preserve">Mid Cap</t>
  </si>
  <si>
    <t xml:space="preserve">Large &amp; Mid Cap</t>
  </si>
  <si>
    <t xml:space="preserve">Small Cap</t>
  </si>
  <si>
    <t xml:space="preserve">ELSS</t>
  </si>
  <si>
    <t xml:space="preserve">Low Duration</t>
  </si>
  <si>
    <t xml:space="preserve">Savings</t>
  </si>
  <si>
    <t xml:space="preserve">—</t>
  </si>
  <si>
    <t xml:space="preserve">Concise Performance Check</t>
  </si>
  <si>
    <t xml:space="preserve">#</t>
  </si>
  <si>
    <t xml:space="preserve">Fund Name</t>
  </si>
  <si>
    <t xml:space="preserve">ISIN</t>
  </si>
  <si>
    <t xml:space="preserve">Risk Type</t>
  </si>
  <si>
    <t xml:space="preserve">SIP Amt (₹)</t>
  </si>
  <si>
    <t xml:space="preserve">1Y CAGR%</t>
  </si>
  <si>
    <t xml:space="preserve">BM 1Y%</t>
  </si>
  <si>
    <t xml:space="preserve">3Y CAGR%</t>
  </si>
  <si>
    <t xml:space="preserve">BM 3Y%</t>
  </si>
  <si>
    <t xml:space="preserve">5Y CAGR%</t>
  </si>
  <si>
    <t xml:space="preserve">BM 5Y%</t>
  </si>
  <si>
    <t xml:space="preserve">Fin Score</t>
  </si>
  <si>
    <t xml:space="preserve">Perf Score</t>
  </si>
  <si>
    <t xml:space="preserve">Total /80</t>
  </si>
  <si>
    <t xml:space="preserve">Rating</t>
  </si>
  <si>
    <t xml:space="preserve">Action</t>
  </si>
  <si>
    <t xml:space="preserve">Target Category</t>
  </si>
  <si>
    <t xml:space="preserve">Target Fund</t>
  </si>
  <si>
    <t xml:space="preserve">CAS Dec NAV (₹)</t>
  </si>
  <si>
    <t xml:space="preserve">CAS Dec Value (₹)</t>
  </si>
  <si>
    <t xml:space="preserve">Axis ELSS Tax Saver Fund - Direct Growth</t>
  </si>
  <si>
    <t xml:space="preserve">INF846K01EW2</t>
  </si>
  <si>
    <t xml:space="preserve">Average</t>
  </si>
  <si>
    <t xml:space="preserve">HOLD</t>
  </si>
  <si>
    <t xml:space="preserve">Axis Mid Cap Fund - Regular Growth</t>
  </si>
  <si>
    <t xml:space="preserve">INF846K01859</t>
  </si>
  <si>
    <t xml:space="preserve">HDFC Low Duration Fund - Regular Plan - Growth</t>
  </si>
  <si>
    <t xml:space="preserve">INF179K01442</t>
  </si>
  <si>
    <t xml:space="preserve">Good</t>
  </si>
  <si>
    <t xml:space="preserve">HDFC Small Cap Fund - Regular Plan - Growth Plan</t>
  </si>
  <si>
    <t xml:space="preserve">INF179KA1RZ8</t>
  </si>
  <si>
    <t xml:space="preserve">Kotak Large &amp; Midcap Fund Growth (Regular Plan)</t>
  </si>
  <si>
    <t xml:space="preserve">INF174K01187</t>
  </si>
  <si>
    <t xml:space="preserve">Kotak Low Duration Fund Standard Growth (Regular Plan)</t>
  </si>
  <si>
    <t xml:space="preserve">INF178L01202</t>
  </si>
  <si>
    <t xml:space="preserve">Kotak Midcap Fund-Growth (Regular Plan)</t>
  </si>
  <si>
    <t xml:space="preserve">INF174K01DS9</t>
  </si>
  <si>
    <t xml:space="preserve">NIPPON INDIA SMALL CAP FUND - GROWTH PLAN GROWTH OPTION</t>
  </si>
  <si>
    <t xml:space="preserve">INF204K01HY3</t>
  </si>
  <si>
    <t xml:space="preserve">SBI Midcap Fund Regular Plan Growth</t>
  </si>
  <si>
    <t xml:space="preserve">INF200K01560</t>
  </si>
  <si>
    <t xml:space="preserve">SBI Savings Fund Regular Plan Growth</t>
  </si>
  <si>
    <t xml:space="preserve">INF200K01636</t>
  </si>
  <si>
    <t xml:space="preserve">Portfolio Snapshot – Mutual Fund Units</t>
  </si>
  <si>
    <t xml:space="preserve">Scheme Name</t>
  </si>
  <si>
    <t xml:space="preserve">Fund Type</t>
  </si>
  <si>
    <t xml:space="preserve">Units</t>
  </si>
  <si>
    <t xml:space="preserve">NAV Mar-26 (₹)</t>
  </si>
  <si>
    <t xml:space="preserve">Invested (₹)</t>
  </si>
  <si>
    <t xml:space="preserve">Value Mar-26 (₹)</t>
  </si>
  <si>
    <t xml:space="preserve">P/L (₹)</t>
  </si>
  <si>
    <t xml:space="preserve">NAV Dec-25 (₹)</t>
  </si>
  <si>
    <t xml:space="preserve">Value Dec-25 (₹)</t>
  </si>
  <si>
    <t xml:space="preserve">GRAND TOTAL</t>
  </si>
  <si>
    <t xml:space="preserve">MF Transactions – Dec 2025  (Source: NSDL CAS)</t>
  </si>
  <si>
    <t xml:space="preserve">Date</t>
  </si>
  <si>
    <t xml:space="preserve">Folio No.</t>
  </si>
  <si>
    <t xml:space="preserve">Transaction Type</t>
  </si>
  <si>
    <t xml:space="preserve">Amount (₹)</t>
  </si>
  <si>
    <t xml:space="preserve">Stamp Duty (₹)</t>
  </si>
  <si>
    <t xml:space="preserve">NAV (₹)</t>
  </si>
  <si>
    <t xml:space="preserve">10-Dec-25</t>
  </si>
  <si>
    <t xml:space="preserve">36142950</t>
  </si>
  <si>
    <t xml:space="preserve">Switch Out → HDFC Small Cap</t>
  </si>
  <si>
    <t xml:space="preserve">11-Dec-25</t>
  </si>
  <si>
    <t xml:space="preserve">Switch In ← HDFC Low Duration</t>
  </si>
  <si>
    <t xml:space="preserve">05-Dec-25</t>
  </si>
  <si>
    <t xml:space="preserve">Kotak Low Duration Fund Standard Growth</t>
  </si>
  <si>
    <t xml:space="preserve">10435614</t>
  </si>
  <si>
    <t xml:space="preserve">Systematic Switch Out → Kotak Midcap</t>
  </si>
  <si>
    <t xml:space="preserve">12-Dec-25</t>
  </si>
  <si>
    <t xml:space="preserve">19-Dec-25</t>
  </si>
  <si>
    <t xml:space="preserve">26-Dec-25</t>
  </si>
  <si>
    <t xml:space="preserve">01-Dec-25</t>
  </si>
  <si>
    <t xml:space="preserve">Switch In ← Kotak Low Duration (Inst 11)</t>
  </si>
  <si>
    <t xml:space="preserve">08-Dec-25</t>
  </si>
  <si>
    <t xml:space="preserve">Switch In ← Kotak Low Duration (Inst 12)</t>
  </si>
  <si>
    <t xml:space="preserve">15-Dec-25</t>
  </si>
  <si>
    <t xml:space="preserve">Switch In ← Kotak Low Duration (Inst 13)</t>
  </si>
  <si>
    <t xml:space="preserve">22-Dec-25</t>
  </si>
  <si>
    <t xml:space="preserve">Switch In ← Kotak Low Duration (Inst 14a)</t>
  </si>
  <si>
    <t xml:space="preserve">Switch In ← Kotak Low Duration (Inst 14b)</t>
  </si>
  <si>
    <t xml:space="preserve">29-Dec-25</t>
  </si>
  <si>
    <t xml:space="preserve">Switch In ← Kotak Low Duration (Inst 15)</t>
  </si>
  <si>
    <t xml:space="preserve">SBI Midcap Fund - Regular Plan - Growth</t>
  </si>
  <si>
    <t xml:space="preserve">45317065</t>
  </si>
  <si>
    <t xml:space="preserve">STP Switch In ← SBI Savings (Inst 3)</t>
  </si>
  <si>
    <t xml:space="preserve">SBI Savings Fund - Regular Plan - Growth</t>
  </si>
  <si>
    <t xml:space="preserve">STP Switch Out → SBI Midcap (Inst 3)</t>
  </si>
  <si>
    <t xml:space="preserve">Monthly Portfolio Value Trend – Dec 2024 to Dec 2025  (Source: NSDL CAS)</t>
  </si>
  <si>
    <t xml:space="preserve">Month</t>
  </si>
  <si>
    <t xml:space="preserve">Portfolio Value (₹)</t>
  </si>
  <si>
    <t xml:space="preserve">Change (₹)</t>
  </si>
  <si>
    <t xml:space="preserve">Change (%)</t>
  </si>
  <si>
    <t xml:space="preserve">Remarks</t>
  </si>
  <si>
    <t xml:space="preserve">DEC 2024</t>
  </si>
  <si>
    <t xml:space="preserve">Base month</t>
  </si>
  <si>
    <t xml:space="preserve">JAN 2025</t>
  </si>
  <si>
    <t xml:space="preserve">FEB 2025</t>
  </si>
  <si>
    <t xml:space="preserve">MAR 2025</t>
  </si>
  <si>
    <t xml:space="preserve">APR 2025</t>
  </si>
  <si>
    <t xml:space="preserve">MAY 2025</t>
  </si>
  <si>
    <t xml:space="preserve">JUN 2025</t>
  </si>
  <si>
    <t xml:space="preserve">JUL 2025</t>
  </si>
  <si>
    <t xml:space="preserve">Peak – highest single-month growth +16.38%</t>
  </si>
  <si>
    <t xml:space="preserve">AUG 2025</t>
  </si>
  <si>
    <t xml:space="preserve">SEP 2025</t>
  </si>
  <si>
    <t xml:space="preserve">OCT 2025</t>
  </si>
  <si>
    <t xml:space="preserve">NOV 2025</t>
  </si>
  <si>
    <t xml:space="preserve">DEC 2025</t>
  </si>
  <si>
    <t xml:space="preserve">Statement month</t>
  </si>
  <si>
    <t xml:space="preserve">New Allocation – Recommended Changes</t>
  </si>
  <si>
    <t xml:space="preserve">Generated on</t>
  </si>
  <si>
    <t xml:space="preserve">26-Mar-2026</t>
  </si>
  <si>
    <t xml:space="preserve">Current Fund Name</t>
  </si>
  <si>
    <t xml:space="preserve">Target Fund Name</t>
  </si>
  <si>
    <t xml:space="preserve">Valuation (₹)</t>
  </si>
  <si>
    <t xml:space="preserve">No funds marked for Switch / Merge / Sell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</si>
</sst>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\₹#,##0.00"/>
    <numFmt numFmtId="166" formatCode="0.00"/>
    <numFmt numFmtId="167" formatCode="0.00\%"/>
    <numFmt numFmtId="168" formatCode="\+0.00;\-0.00;0.00"/>
    <numFmt numFmtId="169" formatCode="0"/>
    <numFmt numFmtId="170" formatCode="\₹#,##0.0000"/>
    <numFmt numFmtId="171" formatCode="\₹#,##0"/>
    <numFmt numFmtId="172" formatCode="0.0000"/>
    <numFmt numFmtId="173" formatCode="#,##0.00"/>
    <numFmt numFmtId="174" formatCode="0.000"/>
    <numFmt numFmtId="175" formatCode="&quot;+₹&quot;#,##0;&quot;-₹&quot;#,##0;\—"/>
    <numFmt numFmtId="176" formatCode="\+0.00%;\-0.00%;\—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1E3A5F"/>
      <name val="Arial"/>
      <family val="0"/>
      <charset val="1"/>
    </font>
    <font>
      <sz val="10"/>
      <color rgb="FF64748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E293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1E293B"/>
      <name val="Arial"/>
      <family val="0"/>
      <charset val="1"/>
    </font>
    <font>
      <b val="true"/>
      <sz val="9"/>
      <color rgb="FF1E293B"/>
      <name val="Arial"/>
      <family val="0"/>
      <charset val="1"/>
    </font>
    <font>
      <b val="true"/>
      <sz val="9"/>
      <color rgb="FF1E3A5F"/>
      <name val="Arial"/>
      <family val="0"/>
      <charset val="1"/>
    </font>
    <font>
      <sz val="9"/>
      <color rgb="FF64748B"/>
      <name val="Arial"/>
      <family val="0"/>
      <charset val="1"/>
    </font>
    <font>
      <b val="true"/>
      <sz val="10"/>
      <color rgb="FF065F46"/>
      <name val="Arial"/>
      <family val="0"/>
      <charset val="1"/>
    </font>
    <font>
      <b val="true"/>
      <sz val="9"/>
      <color rgb="FF991B1B"/>
      <name val="Arial"/>
      <family val="0"/>
      <charset val="1"/>
    </font>
    <font>
      <b val="true"/>
      <sz val="9"/>
      <color rgb="FF065F46"/>
      <name val="Arial"/>
      <family val="0"/>
      <charset val="1"/>
    </font>
    <font>
      <b val="true"/>
      <sz val="9"/>
      <color rgb="FF92400E"/>
      <name val="Arial"/>
      <family val="0"/>
      <charset val="1"/>
    </font>
    <font>
      <sz val="9"/>
      <color rgb="FF065F46"/>
      <name val="Arial"/>
      <family val="0"/>
      <charset val="1"/>
    </font>
    <font>
      <b val="true"/>
      <sz val="9"/>
      <color rgb="FF1E40A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E3A5F"/>
        <bgColor rgb="FF1E293B"/>
      </patternFill>
    </fill>
    <fill>
      <patternFill patternType="solid">
        <fgColor rgb="FFF1F5F9"/>
        <bgColor rgb="FFEFF6FF"/>
      </patternFill>
    </fill>
    <fill>
      <patternFill patternType="solid">
        <fgColor rgb="FF2563EB"/>
        <bgColor rgb="FF0066CC"/>
      </patternFill>
    </fill>
    <fill>
      <patternFill patternType="solid">
        <fgColor rgb="FF1E40AF"/>
        <bgColor rgb="FF1E3A5F"/>
      </patternFill>
    </fill>
    <fill>
      <patternFill patternType="solid">
        <fgColor rgb="FFFFFFFF"/>
        <bgColor rgb="FFF1F5F9"/>
      </patternFill>
    </fill>
    <fill>
      <patternFill patternType="solid">
        <fgColor rgb="FFEFF6FF"/>
        <bgColor rgb="FFF1F5F9"/>
      </patternFill>
    </fill>
    <fill>
      <patternFill patternType="solid">
        <fgColor rgb="FFFEE2E2"/>
        <bgColor rgb="FFFEF3C7"/>
      </patternFill>
    </fill>
    <fill>
      <patternFill patternType="solid">
        <fgColor rgb="FFD1FAE5"/>
        <bgColor rgb="FFDBEAFE"/>
      </patternFill>
    </fill>
    <fill>
      <patternFill patternType="solid">
        <fgColor rgb="FFFEF3C7"/>
        <bgColor rgb="FFFEE2E2"/>
      </patternFill>
    </fill>
    <fill>
      <patternFill patternType="solid">
        <fgColor rgb="FFDBEAFE"/>
        <bgColor rgb="FFEFF6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0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0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0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0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10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0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0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10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1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0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1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0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10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10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10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008000"/>
      <rgbColor rgb="FF000080"/>
      <rgbColor rgb="FF808000"/>
      <rgbColor rgb="FF800080"/>
      <rgbColor rgb="FF065F46"/>
      <rgbColor rgb="FFC0C0C0"/>
      <rgbColor rgb="FF808080"/>
      <rgbColor rgb="FF9999FF"/>
      <rgbColor rgb="FF993366"/>
      <rgbColor rgb="FFFEF3C7"/>
      <rgbColor rgb="FFDBEA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6FF"/>
      <rgbColor rgb="FFD1FAE5"/>
      <rgbColor rgb="FFF1F5F9"/>
      <rgbColor rgb="FF99CCFF"/>
      <rgbColor rgb="FFFF99CC"/>
      <rgbColor rgb="FFCC99FF"/>
      <rgbColor rgb="FFFEE2E2"/>
      <rgbColor rgb="FF2563EB"/>
      <rgbColor rgb="FF33CCCC"/>
      <rgbColor rgb="FF99CC00"/>
      <rgbColor rgb="FFFFCC00"/>
      <rgbColor rgb="FFFF9900"/>
      <rgbColor rgb="FFFF6600"/>
      <rgbColor rgb="FF64748B"/>
      <rgbColor rgb="FF969696"/>
      <rgbColor rgb="FF1E3A5F"/>
      <rgbColor rgb="FF339966"/>
      <rgbColor rgb="FF003300"/>
      <rgbColor rgb="FF333300"/>
      <rgbColor rgb="FF92400E"/>
      <rgbColor rgb="FF993366"/>
      <rgbColor rgb="FF1E40AF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14"/>
  </cols>
  <sheetData>
    <row r="1" customFormat="false" ht="24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3" t="s">
        <v>2</v>
      </c>
      <c r="C2" s="3"/>
      <c r="D2" s="3"/>
    </row>
    <row r="3" customFormat="false" ht="15" hidden="false" customHeight="false" outlineLevel="0" collapsed="false">
      <c r="A3" s="2" t="s">
        <v>3</v>
      </c>
      <c r="B3" s="3" t="s">
        <v>4</v>
      </c>
      <c r="C3" s="2" t="s">
        <v>5</v>
      </c>
      <c r="D3" s="3" t="s">
        <v>6</v>
      </c>
    </row>
    <row r="5" customFormat="false" ht="18" hidden="false" customHeight="true" outlineLevel="0" collapsed="false">
      <c r="A5" s="4" t="s">
        <v>7</v>
      </c>
      <c r="B5" s="4"/>
      <c r="C5" s="4"/>
      <c r="D5" s="4"/>
    </row>
    <row r="6" customFormat="false" ht="15" hidden="false" customHeight="false" outlineLevel="0" collapsed="false">
      <c r="A6" s="5" t="s">
        <v>8</v>
      </c>
      <c r="B6" s="6" t="n">
        <f aca="false">B18+B19+B20</f>
        <v>10</v>
      </c>
      <c r="C6" s="6"/>
      <c r="D6" s="6"/>
    </row>
    <row r="7" customFormat="false" ht="15" hidden="false" customHeight="false" outlineLevel="0" collapsed="false">
      <c r="A7" s="5" t="s">
        <v>9</v>
      </c>
      <c r="B7" s="6" t="n">
        <v>2857498.6</v>
      </c>
      <c r="C7" s="6"/>
      <c r="D7" s="6"/>
    </row>
    <row r="8" customFormat="false" ht="15" hidden="false" customHeight="false" outlineLevel="0" collapsed="false">
      <c r="A8" s="5" t="s">
        <v>10</v>
      </c>
      <c r="B8" s="6" t="n">
        <f aca="false">B6-B7</f>
        <v>-2857488.6</v>
      </c>
      <c r="C8" s="6"/>
      <c r="D8" s="6"/>
    </row>
    <row r="9" customFormat="false" ht="15" hidden="false" customHeight="false" outlineLevel="0" collapsed="false">
      <c r="A9" s="5" t="s">
        <v>11</v>
      </c>
      <c r="B9" s="7" t="n">
        <f aca="false">(B8/B7)*100</f>
        <v>-99.9996500435731</v>
      </c>
      <c r="C9" s="7"/>
      <c r="D9" s="7"/>
    </row>
    <row r="10" customFormat="false" ht="15" hidden="false" customHeight="false" outlineLevel="0" collapsed="false">
      <c r="A10" s="5" t="s">
        <v>12</v>
      </c>
      <c r="B10" s="8" t="n">
        <v>15.09</v>
      </c>
      <c r="C10" s="8"/>
      <c r="D10" s="8"/>
    </row>
    <row r="11" customFormat="false" ht="15" hidden="false" customHeight="false" outlineLevel="0" collapsed="false">
      <c r="A11" s="5" t="s">
        <v>13</v>
      </c>
      <c r="B11" s="8" t="n">
        <v>10</v>
      </c>
      <c r="C11" s="8"/>
      <c r="D11" s="8"/>
    </row>
    <row r="12" customFormat="false" ht="15" hidden="false" customHeight="false" outlineLevel="0" collapsed="false">
      <c r="A12" s="5" t="s">
        <v>14</v>
      </c>
      <c r="B12" s="8" t="n">
        <v>3</v>
      </c>
      <c r="C12" s="8"/>
      <c r="D12" s="8"/>
    </row>
    <row r="14" customFormat="false" ht="18" hidden="false" customHeight="true" outlineLevel="0" collapsed="false">
      <c r="A14" s="4" t="s">
        <v>15</v>
      </c>
      <c r="B14" s="4"/>
      <c r="C14" s="4"/>
      <c r="D14" s="4"/>
    </row>
    <row r="15" customFormat="false" ht="15" hidden="false" customHeight="false" outlineLevel="0" collapsed="false">
      <c r="A15" s="9" t="s">
        <v>16</v>
      </c>
      <c r="B15" s="9" t="s">
        <v>17</v>
      </c>
      <c r="C15" s="9" t="s">
        <v>18</v>
      </c>
      <c r="D15" s="9" t="s">
        <v>19</v>
      </c>
    </row>
    <row r="16" customFormat="false" ht="15" hidden="false" customHeight="false" outlineLevel="0" collapsed="false">
      <c r="A16" s="10" t="s">
        <v>20</v>
      </c>
      <c r="B16" s="11" t="n">
        <v>1</v>
      </c>
      <c r="C16" s="12" t="n">
        <v>77539.2</v>
      </c>
      <c r="D16" s="13" t="n">
        <f aca="false">C16/C19*100</f>
        <v>2.04848504500797</v>
      </c>
    </row>
    <row r="17" customFormat="false" ht="15" hidden="false" customHeight="false" outlineLevel="0" collapsed="false">
      <c r="A17" s="14" t="s">
        <v>21</v>
      </c>
      <c r="B17" s="15" t="n">
        <v>2</v>
      </c>
      <c r="C17" s="16" t="n">
        <v>21572</v>
      </c>
      <c r="D17" s="17" t="n">
        <f aca="false">C17/C19*100</f>
        <v>0.569904247024885</v>
      </c>
    </row>
    <row r="18" customFormat="false" ht="15" hidden="false" customHeight="false" outlineLevel="0" collapsed="false">
      <c r="A18" s="10" t="s">
        <v>22</v>
      </c>
      <c r="B18" s="11" t="n">
        <v>10</v>
      </c>
      <c r="C18" s="12" t="n">
        <v>3686086.07</v>
      </c>
      <c r="D18" s="13" t="n">
        <f aca="false">C18/C19*100</f>
        <v>97.3816107079671</v>
      </c>
    </row>
    <row r="19" customFormat="false" ht="15" hidden="false" customHeight="false" outlineLevel="0" collapsed="false">
      <c r="A19" s="18" t="s">
        <v>23</v>
      </c>
      <c r="B19" s="19"/>
      <c r="C19" s="20" t="n">
        <f aca="false">SUM(C16:C18)</f>
        <v>3785197.27</v>
      </c>
      <c r="D19" s="21" t="n">
        <f aca="false">SUM(D16:D18)</f>
        <v>100</v>
      </c>
    </row>
    <row r="21" customFormat="false" ht="18" hidden="false" customHeight="true" outlineLevel="0" collapsed="false">
      <c r="A21" s="4" t="s">
        <v>24</v>
      </c>
      <c r="B21" s="4"/>
      <c r="C21" s="4"/>
      <c r="D21" s="4"/>
    </row>
    <row r="22" customFormat="false" ht="15" hidden="false" customHeight="false" outlineLevel="0" collapsed="false">
      <c r="A22" s="22" t="s">
        <v>25</v>
      </c>
      <c r="B22" s="23" t="s">
        <v>26</v>
      </c>
      <c r="C22" s="23"/>
      <c r="D22" s="23"/>
    </row>
    <row r="23" customFormat="false" ht="15" hidden="false" customHeight="false" outlineLevel="0" collapsed="false">
      <c r="A23" s="22" t="s">
        <v>27</v>
      </c>
      <c r="B23" s="23" t="s">
        <v>28</v>
      </c>
      <c r="C23" s="23"/>
      <c r="D23" s="23"/>
    </row>
    <row r="24" customFormat="false" ht="15" hidden="false" customHeight="false" outlineLevel="0" collapsed="false">
      <c r="A24" s="22" t="s">
        <v>29</v>
      </c>
      <c r="B24" s="23" t="s">
        <v>30</v>
      </c>
      <c r="C24" s="23"/>
      <c r="D24" s="23"/>
    </row>
    <row r="25" customFormat="false" ht="15" hidden="false" customHeight="false" outlineLevel="0" collapsed="false">
      <c r="A25" s="22" t="s">
        <v>31</v>
      </c>
      <c r="B25" s="23" t="s">
        <v>32</v>
      </c>
      <c r="C25" s="23"/>
      <c r="D25" s="23"/>
    </row>
    <row r="26" customFormat="false" ht="15" hidden="false" customHeight="false" outlineLevel="0" collapsed="false">
      <c r="A26" s="22" t="s">
        <v>33</v>
      </c>
      <c r="B26" s="23" t="s">
        <v>34</v>
      </c>
      <c r="C26" s="23"/>
      <c r="D26" s="23"/>
    </row>
    <row r="27" customFormat="false" ht="15" hidden="false" customHeight="false" outlineLevel="0" collapsed="false">
      <c r="A27" s="22" t="s">
        <v>35</v>
      </c>
      <c r="B27" s="23" t="s">
        <v>36</v>
      </c>
      <c r="C27" s="23"/>
      <c r="D27" s="23"/>
    </row>
    <row r="28" customFormat="false" ht="15" hidden="false" customHeight="false" outlineLevel="0" collapsed="false">
      <c r="A28" s="22" t="s">
        <v>37</v>
      </c>
      <c r="B28" s="23" t="s">
        <v>38</v>
      </c>
      <c r="C28" s="23"/>
      <c r="D28" s="23"/>
    </row>
    <row r="29" customFormat="false" ht="15" hidden="false" customHeight="false" outlineLevel="0" collapsed="false">
      <c r="A29" s="22" t="s">
        <v>39</v>
      </c>
      <c r="B29" s="23" t="s">
        <v>40</v>
      </c>
      <c r="C29" s="23"/>
      <c r="D29" s="23"/>
    </row>
  </sheetData>
  <mergeCells count="20">
    <mergeCell ref="A1:D1"/>
    <mergeCell ref="B2:D2"/>
    <mergeCell ref="A5:D5"/>
    <mergeCell ref="B6:D6"/>
    <mergeCell ref="B7:D7"/>
    <mergeCell ref="B8:D8"/>
    <mergeCell ref="B9:D9"/>
    <mergeCell ref="B10:D10"/>
    <mergeCell ref="B11:D11"/>
    <mergeCell ref="B12:D12"/>
    <mergeCell ref="A14:D14"/>
    <mergeCell ref="A21:D21"/>
    <mergeCell ref="B22:D22"/>
    <mergeCell ref="B23:D23"/>
    <mergeCell ref="B24:D24"/>
    <mergeCell ref="B25:D25"/>
    <mergeCell ref="B26:D26"/>
    <mergeCell ref="B27:D27"/>
    <mergeCell ref="B28:D28"/>
    <mergeCell ref="B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2"/>
    <col collapsed="false" customWidth="true" hidden="false" outlineLevel="0" max="4" min="4" style="0" width="16"/>
    <col collapsed="false" customWidth="true" hidden="false" outlineLevel="0" max="5" min="5" style="0" width="12"/>
  </cols>
  <sheetData>
    <row r="1" customFormat="false" ht="24" hidden="false" customHeight="true" outlineLevel="0" collapsed="false">
      <c r="A1" s="1" t="s">
        <v>41</v>
      </c>
      <c r="B1" s="1"/>
      <c r="C1" s="1"/>
      <c r="D1" s="1"/>
      <c r="E1" s="1"/>
    </row>
    <row r="2" customFormat="false" ht="15" hidden="false" customHeight="false" outlineLevel="0" collapsed="false">
      <c r="A2" s="2" t="s">
        <v>3</v>
      </c>
      <c r="B2" s="3" t="s">
        <v>4</v>
      </c>
      <c r="D2" s="2" t="s">
        <v>5</v>
      </c>
      <c r="E2" s="3" t="s">
        <v>6</v>
      </c>
    </row>
    <row r="3" customFormat="false" ht="15" hidden="false" customHeight="false" outlineLevel="0" collapsed="false">
      <c r="A3" s="2" t="s">
        <v>42</v>
      </c>
      <c r="B3" s="24" t="s">
        <v>43</v>
      </c>
    </row>
    <row r="5" customFormat="false" ht="15" hidden="false" customHeight="false" outlineLevel="0" collapsed="false">
      <c r="A5" s="9" t="s">
        <v>44</v>
      </c>
      <c r="B5" s="9" t="s">
        <v>45</v>
      </c>
      <c r="C5" s="9" t="s">
        <v>46</v>
      </c>
      <c r="D5" s="9" t="s">
        <v>47</v>
      </c>
      <c r="E5" s="9" t="s">
        <v>48</v>
      </c>
    </row>
    <row r="6" customFormat="false" ht="15" hidden="false" customHeight="false" outlineLevel="0" collapsed="false">
      <c r="A6" s="10" t="s">
        <v>49</v>
      </c>
      <c r="B6" s="25" t="n">
        <v>89.61</v>
      </c>
      <c r="C6" s="25" t="n">
        <v>75</v>
      </c>
      <c r="D6" s="26" t="n">
        <f aca="false">B6-C6</f>
        <v>14.61</v>
      </c>
      <c r="E6" s="27" t="s">
        <v>50</v>
      </c>
    </row>
    <row r="7" customFormat="false" ht="15" hidden="false" customHeight="false" outlineLevel="0" collapsed="false">
      <c r="A7" s="14" t="s">
        <v>51</v>
      </c>
      <c r="B7" s="28" t="n">
        <v>10.39</v>
      </c>
      <c r="C7" s="28" t="n">
        <v>10</v>
      </c>
      <c r="D7" s="29" t="n">
        <f aca="false">B7-C7</f>
        <v>0.390000000000001</v>
      </c>
      <c r="E7" s="30" t="s">
        <v>52</v>
      </c>
    </row>
    <row r="8" customFormat="false" ht="15" hidden="false" customHeight="false" outlineLevel="0" collapsed="false">
      <c r="A8" s="10" t="s">
        <v>53</v>
      </c>
      <c r="B8" s="25" t="n">
        <v>0</v>
      </c>
      <c r="C8" s="25" t="n">
        <v>5</v>
      </c>
      <c r="D8" s="26" t="n">
        <f aca="false">B8-C8</f>
        <v>-5</v>
      </c>
      <c r="E8" s="31" t="s">
        <v>54</v>
      </c>
    </row>
    <row r="9" customFormat="false" ht="15" hidden="false" customHeight="false" outlineLevel="0" collapsed="false">
      <c r="A9" s="14" t="s">
        <v>55</v>
      </c>
      <c r="B9" s="28" t="n">
        <v>0</v>
      </c>
      <c r="C9" s="28" t="n">
        <v>5</v>
      </c>
      <c r="D9" s="29" t="n">
        <f aca="false">B9-C9</f>
        <v>-5</v>
      </c>
      <c r="E9" s="31" t="s">
        <v>54</v>
      </c>
    </row>
    <row r="10" customFormat="false" ht="15" hidden="false" customHeight="false" outlineLevel="0" collapsed="false">
      <c r="A10" s="10" t="s">
        <v>56</v>
      </c>
      <c r="B10" s="25" t="n">
        <v>0</v>
      </c>
      <c r="C10" s="25" t="n">
        <v>5</v>
      </c>
      <c r="D10" s="26" t="n">
        <f aca="false">B10-C10</f>
        <v>-5</v>
      </c>
      <c r="E10" s="31" t="s">
        <v>54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16"/>
  </cols>
  <sheetData>
    <row r="1" customFormat="false" ht="24" hidden="false" customHeight="true" outlineLevel="0" collapsed="false">
      <c r="A1" s="1" t="s">
        <v>57</v>
      </c>
      <c r="B1" s="1"/>
      <c r="C1" s="1"/>
    </row>
    <row r="3" customFormat="false" ht="15" hidden="false" customHeight="false" outlineLevel="0" collapsed="false">
      <c r="A3" s="9" t="s">
        <v>58</v>
      </c>
      <c r="B3" s="9" t="s">
        <v>59</v>
      </c>
      <c r="C3" s="9" t="s">
        <v>60</v>
      </c>
    </row>
    <row r="4" customFormat="false" ht="15" hidden="false" customHeight="false" outlineLevel="0" collapsed="false">
      <c r="A4" s="10" t="s">
        <v>49</v>
      </c>
      <c r="B4" s="10" t="s">
        <v>61</v>
      </c>
      <c r="C4" s="32" t="n">
        <v>47.32</v>
      </c>
    </row>
    <row r="5" customFormat="false" ht="15" hidden="false" customHeight="false" outlineLevel="0" collapsed="false">
      <c r="A5" s="14"/>
      <c r="B5" s="14" t="s">
        <v>62</v>
      </c>
      <c r="C5" s="33" t="n">
        <v>24.24</v>
      </c>
    </row>
    <row r="6" customFormat="false" ht="15" hidden="false" customHeight="false" outlineLevel="0" collapsed="false">
      <c r="A6" s="10"/>
      <c r="B6" s="10" t="s">
        <v>63</v>
      </c>
      <c r="C6" s="32" t="n">
        <v>14.72</v>
      </c>
    </row>
    <row r="7" customFormat="false" ht="15" hidden="false" customHeight="false" outlineLevel="0" collapsed="false">
      <c r="A7" s="14"/>
      <c r="B7" s="14" t="s">
        <v>64</v>
      </c>
      <c r="C7" s="33" t="n">
        <v>3.33</v>
      </c>
    </row>
    <row r="8" customFormat="false" ht="15" hidden="false" customHeight="false" outlineLevel="0" collapsed="false">
      <c r="A8" s="10" t="s">
        <v>51</v>
      </c>
      <c r="B8" s="10" t="s">
        <v>65</v>
      </c>
      <c r="C8" s="32" t="n">
        <v>9.16</v>
      </c>
    </row>
    <row r="9" customFormat="false" ht="15" hidden="false" customHeight="false" outlineLevel="0" collapsed="false">
      <c r="A9" s="14"/>
      <c r="B9" s="14" t="s">
        <v>66</v>
      </c>
      <c r="C9" s="33" t="n">
        <v>1.23</v>
      </c>
    </row>
    <row r="10" customFormat="false" ht="15" hidden="false" customHeight="false" outlineLevel="0" collapsed="false">
      <c r="A10" s="10" t="s">
        <v>53</v>
      </c>
      <c r="B10" s="10" t="s">
        <v>67</v>
      </c>
      <c r="C10" s="25" t="n">
        <v>0</v>
      </c>
    </row>
    <row r="11" customFormat="false" ht="15" hidden="false" customHeight="false" outlineLevel="0" collapsed="false">
      <c r="A11" s="14" t="s">
        <v>55</v>
      </c>
      <c r="B11" s="14" t="s">
        <v>67</v>
      </c>
      <c r="C11" s="28" t="n">
        <v>0</v>
      </c>
    </row>
    <row r="12" customFormat="false" ht="15" hidden="false" customHeight="false" outlineLevel="0" collapsed="false">
      <c r="A12" s="10" t="s">
        <v>56</v>
      </c>
      <c r="B12" s="10" t="s">
        <v>67</v>
      </c>
      <c r="C12" s="25" t="n">
        <v>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4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9"/>
    <col collapsed="false" customWidth="true" hidden="false" outlineLevel="0" max="12" min="12" style="0" width="8"/>
    <col collapsed="false" customWidth="true" hidden="false" outlineLevel="0" max="13" min="13" style="0" width="9"/>
    <col collapsed="false" customWidth="true" hidden="false" outlineLevel="0" max="14" min="14" style="0" width="10"/>
    <col collapsed="false" customWidth="true" hidden="false" outlineLevel="0" max="16" min="15" style="0" width="9"/>
    <col collapsed="false" customWidth="true" hidden="false" outlineLevel="0" max="17" min="17" style="0" width="8"/>
    <col collapsed="false" customWidth="true" hidden="false" outlineLevel="0" max="18" min="18" style="0" width="14"/>
    <col collapsed="false" customWidth="true" hidden="false" outlineLevel="0" max="19" min="19" style="0" width="30"/>
    <col collapsed="false" customWidth="true" hidden="false" outlineLevel="0" max="20" min="20" style="0" width="14"/>
    <col collapsed="false" customWidth="true" hidden="false" outlineLevel="0" max="21" min="21" style="0" width="16"/>
  </cols>
  <sheetData>
    <row r="1" customFormat="false" ht="24" hidden="false" customHeight="true" outlineLevel="0" collapsed="false">
      <c r="A1" s="1" t="s">
        <v>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3" customFormat="false" ht="15" hidden="false" customHeight="false" outlineLevel="0" collapsed="false">
      <c r="A3" s="9" t="s">
        <v>69</v>
      </c>
      <c r="B3" s="9" t="s">
        <v>70</v>
      </c>
      <c r="C3" s="9" t="s">
        <v>71</v>
      </c>
      <c r="D3" s="9" t="s">
        <v>44</v>
      </c>
      <c r="E3" s="9" t="s">
        <v>72</v>
      </c>
      <c r="F3" s="9" t="s">
        <v>73</v>
      </c>
      <c r="G3" s="9" t="s">
        <v>74</v>
      </c>
      <c r="H3" s="9" t="s">
        <v>75</v>
      </c>
      <c r="I3" s="9" t="s">
        <v>76</v>
      </c>
      <c r="J3" s="9" t="s">
        <v>77</v>
      </c>
      <c r="K3" s="9" t="s">
        <v>78</v>
      </c>
      <c r="L3" s="9" t="s">
        <v>79</v>
      </c>
      <c r="M3" s="9" t="s">
        <v>80</v>
      </c>
      <c r="N3" s="9" t="s">
        <v>81</v>
      </c>
      <c r="O3" s="9" t="s">
        <v>82</v>
      </c>
      <c r="P3" s="9" t="s">
        <v>83</v>
      </c>
      <c r="Q3" s="9" t="s">
        <v>84</v>
      </c>
      <c r="R3" s="9" t="s">
        <v>85</v>
      </c>
      <c r="S3" s="9" t="s">
        <v>86</v>
      </c>
      <c r="T3" s="9" t="s">
        <v>87</v>
      </c>
      <c r="U3" s="9" t="s">
        <v>88</v>
      </c>
    </row>
    <row r="4" customFormat="false" ht="15" hidden="false" customHeight="false" outlineLevel="0" collapsed="false">
      <c r="A4" s="34" t="n">
        <v>1</v>
      </c>
      <c r="B4" s="10" t="s">
        <v>89</v>
      </c>
      <c r="C4" s="10" t="s">
        <v>90</v>
      </c>
      <c r="D4" s="10" t="s">
        <v>49</v>
      </c>
      <c r="E4" s="10" t="s">
        <v>64</v>
      </c>
      <c r="F4" s="10" t="s">
        <v>67</v>
      </c>
      <c r="G4" s="35" t="n">
        <v>-1.34</v>
      </c>
      <c r="H4" s="36" t="n">
        <v>5.55</v>
      </c>
      <c r="I4" s="36" t="n">
        <v>15</v>
      </c>
      <c r="J4" s="36" t="n">
        <v>14.66</v>
      </c>
      <c r="K4" s="35" t="n">
        <v>9.2</v>
      </c>
      <c r="L4" s="36" t="n">
        <v>11.91</v>
      </c>
      <c r="M4" s="34" t="n">
        <v>26</v>
      </c>
      <c r="N4" s="34" t="n">
        <v>18</v>
      </c>
      <c r="O4" s="34" t="n">
        <v>44</v>
      </c>
      <c r="P4" s="31" t="s">
        <v>91</v>
      </c>
      <c r="Q4" s="37" t="s">
        <v>92</v>
      </c>
      <c r="R4" s="10" t="s">
        <v>67</v>
      </c>
      <c r="S4" s="10" t="s">
        <v>67</v>
      </c>
      <c r="T4" s="38" t="n">
        <v>110.5516</v>
      </c>
      <c r="U4" s="39" t="n">
        <v>126631.44</v>
      </c>
    </row>
    <row r="5" customFormat="false" ht="15" hidden="false" customHeight="false" outlineLevel="0" collapsed="false">
      <c r="A5" s="40" t="n">
        <v>2</v>
      </c>
      <c r="B5" s="14" t="s">
        <v>93</v>
      </c>
      <c r="C5" s="14" t="s">
        <v>94</v>
      </c>
      <c r="D5" s="14" t="s">
        <v>49</v>
      </c>
      <c r="E5" s="14" t="s">
        <v>61</v>
      </c>
      <c r="F5" s="14" t="s">
        <v>67</v>
      </c>
      <c r="G5" s="41" t="n">
        <v>5.37</v>
      </c>
      <c r="H5" s="42" t="n">
        <v>11.38</v>
      </c>
      <c r="I5" s="41" t="n">
        <v>19.32</v>
      </c>
      <c r="J5" s="42" t="n">
        <v>20.31</v>
      </c>
      <c r="K5" s="41" t="n">
        <v>15.14</v>
      </c>
      <c r="L5" s="42" t="n">
        <v>16.42</v>
      </c>
      <c r="M5" s="40" t="n">
        <v>23</v>
      </c>
      <c r="N5" s="40" t="n">
        <v>18</v>
      </c>
      <c r="O5" s="40" t="n">
        <v>41</v>
      </c>
      <c r="P5" s="31" t="s">
        <v>91</v>
      </c>
      <c r="Q5" s="37" t="s">
        <v>92</v>
      </c>
      <c r="R5" s="14" t="s">
        <v>67</v>
      </c>
      <c r="S5" s="14" t="s">
        <v>67</v>
      </c>
      <c r="T5" s="43" t="n">
        <v>113.35</v>
      </c>
      <c r="U5" s="44" t="n">
        <v>914642.35</v>
      </c>
    </row>
    <row r="6" customFormat="false" ht="15" hidden="false" customHeight="false" outlineLevel="0" collapsed="false">
      <c r="A6" s="34" t="n">
        <v>3</v>
      </c>
      <c r="B6" s="10" t="s">
        <v>95</v>
      </c>
      <c r="C6" s="10" t="s">
        <v>96</v>
      </c>
      <c r="D6" s="10" t="s">
        <v>51</v>
      </c>
      <c r="E6" s="10" t="s">
        <v>65</v>
      </c>
      <c r="F6" s="10" t="s">
        <v>67</v>
      </c>
      <c r="G6" s="35" t="n">
        <v>6.46</v>
      </c>
      <c r="H6" s="36" t="n">
        <v>6.83</v>
      </c>
      <c r="I6" s="35" t="n">
        <v>7.05</v>
      </c>
      <c r="J6" s="36" t="n">
        <v>7.12</v>
      </c>
      <c r="K6" s="35" t="n">
        <v>5.96</v>
      </c>
      <c r="L6" s="36" t="n">
        <v>6.06</v>
      </c>
      <c r="M6" s="34" t="n">
        <v>33</v>
      </c>
      <c r="N6" s="34" t="n">
        <v>22</v>
      </c>
      <c r="O6" s="34" t="n">
        <v>55</v>
      </c>
      <c r="P6" s="30" t="s">
        <v>97</v>
      </c>
      <c r="Q6" s="37" t="s">
        <v>92</v>
      </c>
      <c r="R6" s="10" t="s">
        <v>67</v>
      </c>
      <c r="S6" s="10" t="s">
        <v>67</v>
      </c>
      <c r="T6" s="38" t="n">
        <v>59.508</v>
      </c>
      <c r="U6" s="39" t="n">
        <v>129499.29</v>
      </c>
    </row>
    <row r="7" customFormat="false" ht="15" hidden="false" customHeight="false" outlineLevel="0" collapsed="false">
      <c r="A7" s="40" t="n">
        <v>4</v>
      </c>
      <c r="B7" s="14" t="s">
        <v>98</v>
      </c>
      <c r="C7" s="14" t="s">
        <v>99</v>
      </c>
      <c r="D7" s="14" t="s">
        <v>49</v>
      </c>
      <c r="E7" s="14" t="s">
        <v>63</v>
      </c>
      <c r="F7" s="14" t="s">
        <v>67</v>
      </c>
      <c r="G7" s="41" t="n">
        <v>1.99</v>
      </c>
      <c r="H7" s="42" t="n">
        <v>6.48</v>
      </c>
      <c r="I7" s="41" t="n">
        <v>16.2</v>
      </c>
      <c r="J7" s="42" t="n">
        <v>16.93</v>
      </c>
      <c r="K7" s="42" t="n">
        <v>19.23</v>
      </c>
      <c r="L7" s="42" t="n">
        <v>17.31</v>
      </c>
      <c r="M7" s="40" t="n">
        <v>26</v>
      </c>
      <c r="N7" s="40" t="n">
        <v>22</v>
      </c>
      <c r="O7" s="40" t="n">
        <v>48</v>
      </c>
      <c r="P7" s="31" t="s">
        <v>91</v>
      </c>
      <c r="Q7" s="37" t="s">
        <v>92</v>
      </c>
      <c r="R7" s="14" t="s">
        <v>67</v>
      </c>
      <c r="S7" s="14" t="s">
        <v>67</v>
      </c>
      <c r="T7" s="43" t="n">
        <v>138.332</v>
      </c>
      <c r="U7" s="44" t="n">
        <v>73192.29</v>
      </c>
    </row>
    <row r="8" customFormat="false" ht="15" hidden="false" customHeight="false" outlineLevel="0" collapsed="false">
      <c r="A8" s="34" t="n">
        <v>5</v>
      </c>
      <c r="B8" s="10" t="s">
        <v>100</v>
      </c>
      <c r="C8" s="10" t="s">
        <v>101</v>
      </c>
      <c r="D8" s="10" t="s">
        <v>49</v>
      </c>
      <c r="E8" s="10" t="s">
        <v>62</v>
      </c>
      <c r="F8" s="10" t="s">
        <v>67</v>
      </c>
      <c r="G8" s="35" t="n">
        <v>5.12</v>
      </c>
      <c r="H8" s="36" t="n">
        <v>7.79</v>
      </c>
      <c r="I8" s="36" t="n">
        <v>17.99</v>
      </c>
      <c r="J8" s="36" t="n">
        <v>17.04</v>
      </c>
      <c r="K8" s="36" t="n">
        <v>15.73</v>
      </c>
      <c r="L8" s="36" t="n">
        <v>14.14</v>
      </c>
      <c r="M8" s="34" t="n">
        <v>27</v>
      </c>
      <c r="N8" s="34" t="n">
        <v>26</v>
      </c>
      <c r="O8" s="34" t="n">
        <v>53</v>
      </c>
      <c r="P8" s="30" t="s">
        <v>97</v>
      </c>
      <c r="Q8" s="37" t="s">
        <v>92</v>
      </c>
      <c r="R8" s="10" t="s">
        <v>67</v>
      </c>
      <c r="S8" s="10" t="s">
        <v>67</v>
      </c>
      <c r="T8" s="38" t="n">
        <v>352.367</v>
      </c>
      <c r="U8" s="39" t="n">
        <v>901432.66</v>
      </c>
    </row>
    <row r="9" customFormat="false" ht="15" hidden="false" customHeight="false" outlineLevel="0" collapsed="false">
      <c r="A9" s="40" t="n">
        <v>6</v>
      </c>
      <c r="B9" s="14" t="s">
        <v>102</v>
      </c>
      <c r="C9" s="14" t="s">
        <v>103</v>
      </c>
      <c r="D9" s="14" t="s">
        <v>51</v>
      </c>
      <c r="E9" s="14" t="s">
        <v>65</v>
      </c>
      <c r="F9" s="14" t="s">
        <v>67</v>
      </c>
      <c r="G9" s="41" t="n">
        <v>6.29</v>
      </c>
      <c r="H9" s="42" t="n">
        <v>6.83</v>
      </c>
      <c r="I9" s="41" t="n">
        <v>6.83</v>
      </c>
      <c r="J9" s="42" t="n">
        <v>7.12</v>
      </c>
      <c r="K9" s="41" t="n">
        <v>5.76</v>
      </c>
      <c r="L9" s="42" t="n">
        <v>6.06</v>
      </c>
      <c r="M9" s="40" t="n">
        <v>33</v>
      </c>
      <c r="N9" s="40" t="n">
        <v>22</v>
      </c>
      <c r="O9" s="40" t="n">
        <v>55</v>
      </c>
      <c r="P9" s="30" t="s">
        <v>97</v>
      </c>
      <c r="Q9" s="37" t="s">
        <v>92</v>
      </c>
      <c r="R9" s="14" t="s">
        <v>67</v>
      </c>
      <c r="S9" s="14" t="s">
        <v>67</v>
      </c>
      <c r="T9" s="43" t="n">
        <v>3443.5331</v>
      </c>
      <c r="U9" s="44" t="n">
        <v>184769.66</v>
      </c>
    </row>
    <row r="10" customFormat="false" ht="15" hidden="false" customHeight="false" outlineLevel="0" collapsed="false">
      <c r="A10" s="34" t="n">
        <v>7</v>
      </c>
      <c r="B10" s="10" t="s">
        <v>104</v>
      </c>
      <c r="C10" s="10" t="s">
        <v>105</v>
      </c>
      <c r="D10" s="10" t="s">
        <v>49</v>
      </c>
      <c r="E10" s="10" t="s">
        <v>61</v>
      </c>
      <c r="F10" s="10" t="s">
        <v>67</v>
      </c>
      <c r="G10" s="35" t="n">
        <v>7.42</v>
      </c>
      <c r="H10" s="36" t="n">
        <v>11.38</v>
      </c>
      <c r="I10" s="35" t="n">
        <v>20.17</v>
      </c>
      <c r="J10" s="36" t="n">
        <v>20.31</v>
      </c>
      <c r="K10" s="36" t="n">
        <v>18.06</v>
      </c>
      <c r="L10" s="36" t="n">
        <v>16.42</v>
      </c>
      <c r="M10" s="34" t="n">
        <v>27</v>
      </c>
      <c r="N10" s="34" t="n">
        <v>22</v>
      </c>
      <c r="O10" s="34" t="n">
        <v>49</v>
      </c>
      <c r="P10" s="30" t="s">
        <v>97</v>
      </c>
      <c r="Q10" s="37" t="s">
        <v>92</v>
      </c>
      <c r="R10" s="10" t="s">
        <v>67</v>
      </c>
      <c r="S10" s="10" t="s">
        <v>67</v>
      </c>
      <c r="T10" s="38" t="n">
        <v>136.588</v>
      </c>
      <c r="U10" s="39" t="n">
        <v>770855.69</v>
      </c>
    </row>
    <row r="11" customFormat="false" ht="15" hidden="false" customHeight="false" outlineLevel="0" collapsed="false">
      <c r="A11" s="40" t="n">
        <v>8</v>
      </c>
      <c r="B11" s="14" t="s">
        <v>106</v>
      </c>
      <c r="C11" s="14" t="s">
        <v>107</v>
      </c>
      <c r="D11" s="14" t="s">
        <v>49</v>
      </c>
      <c r="E11" s="14" t="s">
        <v>63</v>
      </c>
      <c r="F11" s="14" t="s">
        <v>67</v>
      </c>
      <c r="G11" s="41" t="n">
        <v>0.96</v>
      </c>
      <c r="H11" s="42" t="n">
        <v>6.48</v>
      </c>
      <c r="I11" s="42" t="n">
        <v>19.45</v>
      </c>
      <c r="J11" s="42" t="n">
        <v>16.93</v>
      </c>
      <c r="K11" s="42" t="n">
        <v>21.8</v>
      </c>
      <c r="L11" s="42" t="n">
        <v>17.31</v>
      </c>
      <c r="M11" s="40" t="n">
        <v>27</v>
      </c>
      <c r="N11" s="40" t="n">
        <v>28</v>
      </c>
      <c r="O11" s="40" t="n">
        <v>55</v>
      </c>
      <c r="P11" s="30" t="s">
        <v>97</v>
      </c>
      <c r="Q11" s="37" t="s">
        <v>92</v>
      </c>
      <c r="R11" s="14" t="s">
        <v>67</v>
      </c>
      <c r="S11" s="14" t="s">
        <v>67</v>
      </c>
      <c r="T11" s="43" t="n">
        <v>166.2226</v>
      </c>
      <c r="U11" s="44" t="n">
        <v>482116.35</v>
      </c>
    </row>
    <row r="12" customFormat="false" ht="15" hidden="false" customHeight="false" outlineLevel="0" collapsed="false">
      <c r="A12" s="34" t="n">
        <v>9</v>
      </c>
      <c r="B12" s="10" t="s">
        <v>108</v>
      </c>
      <c r="C12" s="10" t="s">
        <v>109</v>
      </c>
      <c r="D12" s="10" t="s">
        <v>49</v>
      </c>
      <c r="E12" s="10" t="s">
        <v>61</v>
      </c>
      <c r="F12" s="10" t="s">
        <v>67</v>
      </c>
      <c r="G12" s="35" t="n">
        <v>-2.53</v>
      </c>
      <c r="H12" s="36" t="n">
        <v>11.38</v>
      </c>
      <c r="I12" s="35" t="n">
        <v>15.53</v>
      </c>
      <c r="J12" s="36" t="n">
        <v>20.31</v>
      </c>
      <c r="K12" s="35" t="n">
        <v>15.93</v>
      </c>
      <c r="L12" s="36" t="n">
        <v>16.42</v>
      </c>
      <c r="M12" s="34" t="n">
        <v>21</v>
      </c>
      <c r="N12" s="34" t="n">
        <v>9</v>
      </c>
      <c r="O12" s="34" t="n">
        <v>30</v>
      </c>
      <c r="P12" s="31" t="s">
        <v>91</v>
      </c>
      <c r="Q12" s="37" t="s">
        <v>92</v>
      </c>
      <c r="R12" s="10" t="s">
        <v>67</v>
      </c>
      <c r="S12" s="10" t="s">
        <v>67</v>
      </c>
      <c r="T12" s="38" t="n">
        <v>236.0305</v>
      </c>
      <c r="U12" s="39" t="n">
        <v>60872.27</v>
      </c>
    </row>
    <row r="13" customFormat="false" ht="15" hidden="false" customHeight="false" outlineLevel="0" collapsed="false">
      <c r="A13" s="40" t="n">
        <v>10</v>
      </c>
      <c r="B13" s="14" t="s">
        <v>110</v>
      </c>
      <c r="C13" s="14" t="s">
        <v>111</v>
      </c>
      <c r="D13" s="14" t="s">
        <v>51</v>
      </c>
      <c r="E13" s="14" t="s">
        <v>66</v>
      </c>
      <c r="F13" s="14" t="s">
        <v>67</v>
      </c>
      <c r="G13" s="41" t="n">
        <v>6.33</v>
      </c>
      <c r="H13" s="42" t="n">
        <v>6.43</v>
      </c>
      <c r="I13" s="41" t="n">
        <v>6.89</v>
      </c>
      <c r="J13" s="42" t="n">
        <v>6.95</v>
      </c>
      <c r="K13" s="41" t="n">
        <v>5.8</v>
      </c>
      <c r="L13" s="42" t="n">
        <v>5.95</v>
      </c>
      <c r="M13" s="40" t="n">
        <v>34</v>
      </c>
      <c r="N13" s="40" t="n">
        <v>22</v>
      </c>
      <c r="O13" s="40" t="n">
        <v>56</v>
      </c>
      <c r="P13" s="30" t="s">
        <v>97</v>
      </c>
      <c r="Q13" s="37" t="s">
        <v>92</v>
      </c>
      <c r="R13" s="14" t="s">
        <v>67</v>
      </c>
      <c r="S13" s="14" t="s">
        <v>67</v>
      </c>
      <c r="T13" s="43" t="n">
        <v>42.7357</v>
      </c>
      <c r="U13" s="44" t="n">
        <v>42074.07</v>
      </c>
    </row>
  </sheetData>
  <mergeCells count="1">
    <mergeCell ref="A1:S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4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1" min="10" style="0" width="16"/>
  </cols>
  <sheetData>
    <row r="1" customFormat="false" ht="24" hidden="false" customHeight="true" outlineLevel="0" collapsed="false">
      <c r="A1" s="1" t="s">
        <v>112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customFormat="false" ht="15" hidden="false" customHeight="false" outlineLevel="0" collapsed="false">
      <c r="A3" s="9" t="s">
        <v>69</v>
      </c>
      <c r="B3" s="9" t="s">
        <v>113</v>
      </c>
      <c r="C3" s="9" t="s">
        <v>44</v>
      </c>
      <c r="D3" s="9" t="s">
        <v>114</v>
      </c>
      <c r="E3" s="9" t="s">
        <v>115</v>
      </c>
      <c r="F3" s="9" t="s">
        <v>116</v>
      </c>
      <c r="G3" s="9" t="s">
        <v>117</v>
      </c>
      <c r="H3" s="9" t="s">
        <v>118</v>
      </c>
      <c r="I3" s="9" t="s">
        <v>119</v>
      </c>
      <c r="J3" s="9" t="s">
        <v>120</v>
      </c>
      <c r="K3" s="9" t="s">
        <v>121</v>
      </c>
    </row>
    <row r="4" customFormat="false" ht="15" hidden="false" customHeight="false" outlineLevel="0" collapsed="false">
      <c r="A4" s="34" t="n">
        <v>1</v>
      </c>
      <c r="B4" s="10" t="s">
        <v>89</v>
      </c>
      <c r="C4" s="10" t="s">
        <v>49</v>
      </c>
      <c r="D4" s="10" t="s">
        <v>64</v>
      </c>
      <c r="E4" s="45" t="n">
        <v>1145.451</v>
      </c>
      <c r="F4" s="46" t="n">
        <v>100.7319</v>
      </c>
      <c r="G4" s="12" t="n">
        <v>50000</v>
      </c>
      <c r="H4" s="12" t="n">
        <f aca="false">E4*F4</f>
        <v>115383.4555869</v>
      </c>
      <c r="I4" s="47" t="n">
        <f aca="false">H4-G4</f>
        <v>65383.4555869</v>
      </c>
      <c r="J4" s="46" t="n">
        <v>110.5516</v>
      </c>
      <c r="K4" s="12" t="n">
        <v>126631.44</v>
      </c>
    </row>
    <row r="5" customFormat="false" ht="15" hidden="false" customHeight="false" outlineLevel="0" collapsed="false">
      <c r="A5" s="40" t="n">
        <v>2</v>
      </c>
      <c r="B5" s="14" t="s">
        <v>93</v>
      </c>
      <c r="C5" s="14" t="s">
        <v>49</v>
      </c>
      <c r="D5" s="14" t="s">
        <v>61</v>
      </c>
      <c r="E5" s="48" t="n">
        <v>8069.187</v>
      </c>
      <c r="F5" s="49" t="n">
        <v>107.05</v>
      </c>
      <c r="G5" s="16" t="n">
        <v>575000</v>
      </c>
      <c r="H5" s="16" t="n">
        <f aca="false">E5*F5</f>
        <v>863806.46835</v>
      </c>
      <c r="I5" s="50" t="n">
        <f aca="false">H5-G5</f>
        <v>288806.46835</v>
      </c>
      <c r="J5" s="49" t="n">
        <v>113.35</v>
      </c>
      <c r="K5" s="16" t="n">
        <v>914642.35</v>
      </c>
    </row>
    <row r="6" customFormat="false" ht="15" hidden="false" customHeight="false" outlineLevel="0" collapsed="false">
      <c r="A6" s="34" t="n">
        <v>3</v>
      </c>
      <c r="B6" s="10" t="s">
        <v>95</v>
      </c>
      <c r="C6" s="10" t="s">
        <v>51</v>
      </c>
      <c r="D6" s="10" t="s">
        <v>65</v>
      </c>
      <c r="E6" s="45" t="n">
        <v>2176.166</v>
      </c>
      <c r="F6" s="46" t="n">
        <v>60.0666</v>
      </c>
      <c r="G6" s="12" t="n">
        <v>126247.88</v>
      </c>
      <c r="H6" s="12" t="n">
        <f aca="false">E6*F6</f>
        <v>130714.8926556</v>
      </c>
      <c r="I6" s="47" t="n">
        <f aca="false">H6-G6</f>
        <v>4467.0126556</v>
      </c>
      <c r="J6" s="46" t="n">
        <v>59.508</v>
      </c>
      <c r="K6" s="12" t="n">
        <v>129499.29</v>
      </c>
    </row>
    <row r="7" customFormat="false" ht="15" hidden="false" customHeight="false" outlineLevel="0" collapsed="false">
      <c r="A7" s="40" t="n">
        <v>4</v>
      </c>
      <c r="B7" s="14" t="s">
        <v>98</v>
      </c>
      <c r="C7" s="14" t="s">
        <v>49</v>
      </c>
      <c r="D7" s="14" t="s">
        <v>63</v>
      </c>
      <c r="E7" s="48" t="n">
        <v>529.106</v>
      </c>
      <c r="F7" s="49" t="n">
        <v>123.773</v>
      </c>
      <c r="G7" s="16" t="n">
        <v>75000</v>
      </c>
      <c r="H7" s="16" t="n">
        <f aca="false">E7*F7</f>
        <v>65489.036938</v>
      </c>
      <c r="I7" s="50" t="n">
        <f aca="false">H7-G7</f>
        <v>-9510.963062</v>
      </c>
      <c r="J7" s="49" t="n">
        <v>138.332</v>
      </c>
      <c r="K7" s="16" t="n">
        <v>73192.29</v>
      </c>
    </row>
    <row r="8" customFormat="false" ht="15" hidden="false" customHeight="false" outlineLevel="0" collapsed="false">
      <c r="A8" s="34" t="n">
        <v>5</v>
      </c>
      <c r="B8" s="10" t="s">
        <v>100</v>
      </c>
      <c r="C8" s="10" t="s">
        <v>49</v>
      </c>
      <c r="D8" s="10" t="s">
        <v>62</v>
      </c>
      <c r="E8" s="45" t="n">
        <v>2558.221</v>
      </c>
      <c r="F8" s="46" t="n">
        <v>328.115</v>
      </c>
      <c r="G8" s="12" t="n">
        <v>550000</v>
      </c>
      <c r="H8" s="12" t="n">
        <f aca="false">E8*F8</f>
        <v>839390.683415</v>
      </c>
      <c r="I8" s="47" t="n">
        <f aca="false">H8-G8</f>
        <v>289390.683415</v>
      </c>
      <c r="J8" s="46" t="n">
        <v>352.367</v>
      </c>
      <c r="K8" s="12" t="n">
        <v>901432.66</v>
      </c>
    </row>
    <row r="9" customFormat="false" ht="15" hidden="false" customHeight="false" outlineLevel="0" collapsed="false">
      <c r="A9" s="40" t="n">
        <v>6</v>
      </c>
      <c r="B9" s="14" t="s">
        <v>102</v>
      </c>
      <c r="C9" s="14" t="s">
        <v>51</v>
      </c>
      <c r="D9" s="14" t="s">
        <v>65</v>
      </c>
      <c r="E9" s="48" t="n">
        <v>53.657</v>
      </c>
      <c r="F9" s="49" t="n">
        <v>3473.6357</v>
      </c>
      <c r="G9" s="16" t="n">
        <v>180250.58</v>
      </c>
      <c r="H9" s="16" t="n">
        <f aca="false">E9*F9</f>
        <v>186384.8707549</v>
      </c>
      <c r="I9" s="50" t="n">
        <f aca="false">H9-G9</f>
        <v>6134.29075489999</v>
      </c>
      <c r="J9" s="49" t="n">
        <v>3443.5331</v>
      </c>
      <c r="K9" s="16" t="n">
        <v>184769.66</v>
      </c>
    </row>
    <row r="10" customFormat="false" ht="15" hidden="false" customHeight="false" outlineLevel="0" collapsed="false">
      <c r="A10" s="34" t="n">
        <v>7</v>
      </c>
      <c r="B10" s="10" t="s">
        <v>104</v>
      </c>
      <c r="C10" s="10" t="s">
        <v>49</v>
      </c>
      <c r="D10" s="10" t="s">
        <v>61</v>
      </c>
      <c r="E10" s="45" t="n">
        <v>5643.656</v>
      </c>
      <c r="F10" s="46" t="n">
        <v>127.35</v>
      </c>
      <c r="G10" s="12" t="n">
        <v>725000</v>
      </c>
      <c r="H10" s="12" t="n">
        <f aca="false">E10*F10</f>
        <v>718719.5916</v>
      </c>
      <c r="I10" s="47" t="n">
        <f aca="false">H10-G10</f>
        <v>-6280.40840000007</v>
      </c>
      <c r="J10" s="46" t="n">
        <v>136.588</v>
      </c>
      <c r="K10" s="12" t="n">
        <v>770855.69</v>
      </c>
    </row>
    <row r="11" customFormat="false" ht="15" hidden="false" customHeight="false" outlineLevel="0" collapsed="false">
      <c r="A11" s="40" t="n">
        <v>8</v>
      </c>
      <c r="B11" s="14" t="s">
        <v>106</v>
      </c>
      <c r="C11" s="14" t="s">
        <v>49</v>
      </c>
      <c r="D11" s="14" t="s">
        <v>63</v>
      </c>
      <c r="E11" s="48" t="n">
        <v>2900.426</v>
      </c>
      <c r="F11" s="49" t="n">
        <v>153.0972</v>
      </c>
      <c r="G11" s="16" t="n">
        <v>475000</v>
      </c>
      <c r="H11" s="16" t="n">
        <f aca="false">E11*F11</f>
        <v>444047.0994072</v>
      </c>
      <c r="I11" s="50" t="n">
        <f aca="false">H11-G11</f>
        <v>-30952.9005928001</v>
      </c>
      <c r="J11" s="49" t="n">
        <v>166.2226</v>
      </c>
      <c r="K11" s="16" t="n">
        <v>482116.35</v>
      </c>
    </row>
    <row r="12" customFormat="false" ht="15" hidden="false" customHeight="false" outlineLevel="0" collapsed="false">
      <c r="A12" s="34" t="n">
        <v>9</v>
      </c>
      <c r="B12" s="10" t="s">
        <v>108</v>
      </c>
      <c r="C12" s="10" t="s">
        <v>49</v>
      </c>
      <c r="D12" s="10" t="s">
        <v>61</v>
      </c>
      <c r="E12" s="45" t="n">
        <v>257.9</v>
      </c>
      <c r="F12" s="46" t="n">
        <v>216.1991</v>
      </c>
      <c r="G12" s="12" t="n">
        <v>60000</v>
      </c>
      <c r="H12" s="12" t="n">
        <f aca="false">E12*F12</f>
        <v>55757.74789</v>
      </c>
      <c r="I12" s="47" t="n">
        <f aca="false">H12-G12</f>
        <v>-4242.25211000001</v>
      </c>
      <c r="J12" s="46" t="n">
        <v>236.0305</v>
      </c>
      <c r="K12" s="12" t="n">
        <v>60872.27</v>
      </c>
    </row>
    <row r="13" customFormat="false" ht="15" hidden="false" customHeight="false" outlineLevel="0" collapsed="false">
      <c r="A13" s="40" t="n">
        <v>10</v>
      </c>
      <c r="B13" s="14" t="s">
        <v>110</v>
      </c>
      <c r="C13" s="14" t="s">
        <v>51</v>
      </c>
      <c r="D13" s="14" t="s">
        <v>66</v>
      </c>
      <c r="E13" s="48" t="n">
        <v>984.518</v>
      </c>
      <c r="F13" s="49" t="n">
        <v>43.1449</v>
      </c>
      <c r="G13" s="16" t="n">
        <v>41000.14</v>
      </c>
      <c r="H13" s="16" t="n">
        <f aca="false">E13*F13</f>
        <v>42476.9306582</v>
      </c>
      <c r="I13" s="50" t="n">
        <f aca="false">H13-G13</f>
        <v>1476.7906582</v>
      </c>
      <c r="J13" s="49" t="n">
        <v>42.7357</v>
      </c>
      <c r="K13" s="16" t="n">
        <v>42074.07</v>
      </c>
    </row>
    <row r="14" customFormat="false" ht="15" hidden="false" customHeight="false" outlineLevel="0" collapsed="false">
      <c r="A14" s="51" t="s">
        <v>122</v>
      </c>
      <c r="B14" s="51"/>
      <c r="C14" s="51"/>
      <c r="D14" s="51"/>
      <c r="E14" s="51"/>
      <c r="F14" s="51"/>
      <c r="G14" s="52" t="n">
        <f aca="false">SUM(G4:G13)</f>
        <v>2857498.6</v>
      </c>
      <c r="H14" s="52" t="n">
        <f aca="false">SUM(H4:H13)</f>
        <v>3462170.7772558</v>
      </c>
      <c r="I14" s="53" t="n">
        <f aca="false">SUM(I4:I13)</f>
        <v>604672.1772558</v>
      </c>
      <c r="J14" s="54"/>
      <c r="K14" s="52" t="n">
        <f aca="false">SUM(K4:K13)</f>
        <v>3686086.07</v>
      </c>
    </row>
  </sheetData>
  <mergeCells count="2">
    <mergeCell ref="A1:K1"/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44"/>
    <col collapsed="false" customWidth="true" hidden="false" outlineLevel="0" max="4" min="4" style="0" width="14"/>
    <col collapsed="false" customWidth="true" hidden="false" outlineLevel="0" max="5" min="5" style="0" width="36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0"/>
  </cols>
  <sheetData>
    <row r="1" customFormat="false" ht="24" hidden="false" customHeight="true" outlineLevel="0" collapsed="false">
      <c r="A1" s="1" t="s">
        <v>123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9" t="s">
        <v>69</v>
      </c>
      <c r="B3" s="9" t="s">
        <v>124</v>
      </c>
      <c r="C3" s="9" t="s">
        <v>113</v>
      </c>
      <c r="D3" s="9" t="s">
        <v>125</v>
      </c>
      <c r="E3" s="9" t="s">
        <v>126</v>
      </c>
      <c r="F3" s="9" t="s">
        <v>127</v>
      </c>
      <c r="G3" s="9" t="s">
        <v>128</v>
      </c>
      <c r="H3" s="9" t="s">
        <v>129</v>
      </c>
      <c r="I3" s="9" t="s">
        <v>115</v>
      </c>
    </row>
    <row r="4" customFormat="false" ht="15" hidden="false" customHeight="false" outlineLevel="0" collapsed="false">
      <c r="A4" s="34" t="n">
        <v>1</v>
      </c>
      <c r="B4" s="11" t="s">
        <v>130</v>
      </c>
      <c r="C4" s="10" t="s">
        <v>95</v>
      </c>
      <c r="D4" s="10" t="s">
        <v>131</v>
      </c>
      <c r="E4" s="10" t="s">
        <v>132</v>
      </c>
      <c r="F4" s="55" t="n">
        <v>25000</v>
      </c>
      <c r="G4" s="56" t="n">
        <v>0</v>
      </c>
      <c r="H4" s="57" t="n">
        <v>59.3481</v>
      </c>
      <c r="I4" s="58" t="n">
        <v>421.243</v>
      </c>
    </row>
    <row r="5" customFormat="false" ht="15" hidden="false" customHeight="false" outlineLevel="0" collapsed="false">
      <c r="A5" s="40" t="n">
        <v>2</v>
      </c>
      <c r="B5" s="15" t="s">
        <v>133</v>
      </c>
      <c r="C5" s="14" t="s">
        <v>98</v>
      </c>
      <c r="D5" s="14" t="s">
        <v>131</v>
      </c>
      <c r="E5" s="14" t="s">
        <v>134</v>
      </c>
      <c r="F5" s="59" t="n">
        <v>24998.75</v>
      </c>
      <c r="G5" s="60" t="n">
        <v>1.25</v>
      </c>
      <c r="H5" s="61" t="n">
        <v>137.479</v>
      </c>
      <c r="I5" s="62" t="n">
        <v>181.837</v>
      </c>
    </row>
    <row r="6" customFormat="false" ht="15" hidden="false" customHeight="false" outlineLevel="0" collapsed="false">
      <c r="A6" s="34" t="n">
        <v>3</v>
      </c>
      <c r="B6" s="11" t="s">
        <v>135</v>
      </c>
      <c r="C6" s="10" t="s">
        <v>136</v>
      </c>
      <c r="D6" s="10" t="s">
        <v>137</v>
      </c>
      <c r="E6" s="10" t="s">
        <v>138</v>
      </c>
      <c r="F6" s="55" t="n">
        <v>15000</v>
      </c>
      <c r="G6" s="56" t="n">
        <v>0</v>
      </c>
      <c r="H6" s="57" t="n">
        <v>3435.3751</v>
      </c>
      <c r="I6" s="58" t="n">
        <v>4.366</v>
      </c>
    </row>
    <row r="7" customFormat="false" ht="15" hidden="false" customHeight="false" outlineLevel="0" collapsed="false">
      <c r="A7" s="40" t="n">
        <v>4</v>
      </c>
      <c r="B7" s="15" t="s">
        <v>139</v>
      </c>
      <c r="C7" s="14" t="s">
        <v>136</v>
      </c>
      <c r="D7" s="14" t="s">
        <v>137</v>
      </c>
      <c r="E7" s="14" t="s">
        <v>138</v>
      </c>
      <c r="F7" s="59" t="n">
        <v>15000</v>
      </c>
      <c r="G7" s="60" t="n">
        <v>0</v>
      </c>
      <c r="H7" s="61" t="n">
        <v>3434.9442</v>
      </c>
      <c r="I7" s="62" t="n">
        <v>4.367</v>
      </c>
    </row>
    <row r="8" customFormat="false" ht="15" hidden="false" customHeight="false" outlineLevel="0" collapsed="false">
      <c r="A8" s="34" t="n">
        <v>5</v>
      </c>
      <c r="B8" s="11" t="s">
        <v>140</v>
      </c>
      <c r="C8" s="10" t="s">
        <v>136</v>
      </c>
      <c r="D8" s="10" t="s">
        <v>137</v>
      </c>
      <c r="E8" s="10" t="s">
        <v>138</v>
      </c>
      <c r="F8" s="55" t="n">
        <v>15000</v>
      </c>
      <c r="G8" s="56" t="n">
        <v>0</v>
      </c>
      <c r="H8" s="57" t="n">
        <v>3436.8404</v>
      </c>
      <c r="I8" s="58" t="n">
        <v>4.364</v>
      </c>
    </row>
    <row r="9" customFormat="false" ht="15" hidden="false" customHeight="false" outlineLevel="0" collapsed="false">
      <c r="A9" s="40" t="n">
        <v>6</v>
      </c>
      <c r="B9" s="15" t="s">
        <v>141</v>
      </c>
      <c r="C9" s="14" t="s">
        <v>136</v>
      </c>
      <c r="D9" s="14" t="s">
        <v>137</v>
      </c>
      <c r="E9" s="14" t="s">
        <v>138</v>
      </c>
      <c r="F9" s="59" t="n">
        <v>15000</v>
      </c>
      <c r="G9" s="60" t="n">
        <v>0</v>
      </c>
      <c r="H9" s="61" t="n">
        <v>3441.4535</v>
      </c>
      <c r="I9" s="62" t="n">
        <v>4.359</v>
      </c>
    </row>
    <row r="10" customFormat="false" ht="15" hidden="false" customHeight="false" outlineLevel="0" collapsed="false">
      <c r="A10" s="34" t="n">
        <v>7</v>
      </c>
      <c r="B10" s="11" t="s">
        <v>142</v>
      </c>
      <c r="C10" s="10" t="s">
        <v>104</v>
      </c>
      <c r="D10" s="10" t="s">
        <v>137</v>
      </c>
      <c r="E10" s="10" t="s">
        <v>143</v>
      </c>
      <c r="F10" s="55" t="n">
        <v>14999.25</v>
      </c>
      <c r="G10" s="56" t="n">
        <v>0.75</v>
      </c>
      <c r="H10" s="57" t="n">
        <v>137.108</v>
      </c>
      <c r="I10" s="58" t="n">
        <v>109.397</v>
      </c>
    </row>
    <row r="11" customFormat="false" ht="15" hidden="false" customHeight="false" outlineLevel="0" collapsed="false">
      <c r="A11" s="40" t="n">
        <v>8</v>
      </c>
      <c r="B11" s="15" t="s">
        <v>144</v>
      </c>
      <c r="C11" s="14" t="s">
        <v>104</v>
      </c>
      <c r="D11" s="14" t="s">
        <v>137</v>
      </c>
      <c r="E11" s="14" t="s">
        <v>145</v>
      </c>
      <c r="F11" s="59" t="n">
        <v>14999.25</v>
      </c>
      <c r="G11" s="60" t="n">
        <v>0.75</v>
      </c>
      <c r="H11" s="61" t="n">
        <v>133.735</v>
      </c>
      <c r="I11" s="62" t="n">
        <v>112.157</v>
      </c>
    </row>
    <row r="12" customFormat="false" ht="15" hidden="false" customHeight="false" outlineLevel="0" collapsed="false">
      <c r="A12" s="34" t="n">
        <v>9</v>
      </c>
      <c r="B12" s="11" t="s">
        <v>146</v>
      </c>
      <c r="C12" s="10" t="s">
        <v>104</v>
      </c>
      <c r="D12" s="10" t="s">
        <v>137</v>
      </c>
      <c r="E12" s="10" t="s">
        <v>147</v>
      </c>
      <c r="F12" s="55" t="n">
        <v>14999.25</v>
      </c>
      <c r="G12" s="56" t="n">
        <v>0.75</v>
      </c>
      <c r="H12" s="57" t="n">
        <v>135.989</v>
      </c>
      <c r="I12" s="58" t="n">
        <v>110.298</v>
      </c>
    </row>
    <row r="13" customFormat="false" ht="15" hidden="false" customHeight="false" outlineLevel="0" collapsed="false">
      <c r="A13" s="40" t="n">
        <v>10</v>
      </c>
      <c r="B13" s="15" t="s">
        <v>148</v>
      </c>
      <c r="C13" s="14" t="s">
        <v>104</v>
      </c>
      <c r="D13" s="14" t="s">
        <v>137</v>
      </c>
      <c r="E13" s="14" t="s">
        <v>149</v>
      </c>
      <c r="F13" s="59" t="n">
        <v>5225.37</v>
      </c>
      <c r="G13" s="60" t="n">
        <v>0.26</v>
      </c>
      <c r="H13" s="61" t="n">
        <v>137.037</v>
      </c>
      <c r="I13" s="62" t="n">
        <v>38.131</v>
      </c>
    </row>
    <row r="14" customFormat="false" ht="15" hidden="false" customHeight="false" outlineLevel="0" collapsed="false">
      <c r="A14" s="34" t="n">
        <v>11</v>
      </c>
      <c r="B14" s="11" t="s">
        <v>148</v>
      </c>
      <c r="C14" s="10" t="s">
        <v>104</v>
      </c>
      <c r="D14" s="10" t="s">
        <v>137</v>
      </c>
      <c r="E14" s="10" t="s">
        <v>150</v>
      </c>
      <c r="F14" s="55" t="n">
        <v>9773.88</v>
      </c>
      <c r="G14" s="56" t="n">
        <v>0.49</v>
      </c>
      <c r="H14" s="57" t="n">
        <v>137.037</v>
      </c>
      <c r="I14" s="58" t="n">
        <v>71.323</v>
      </c>
    </row>
    <row r="15" customFormat="false" ht="15" hidden="false" customHeight="false" outlineLevel="0" collapsed="false">
      <c r="A15" s="40" t="n">
        <v>12</v>
      </c>
      <c r="B15" s="15" t="s">
        <v>151</v>
      </c>
      <c r="C15" s="14" t="s">
        <v>104</v>
      </c>
      <c r="D15" s="14" t="s">
        <v>137</v>
      </c>
      <c r="E15" s="14" t="s">
        <v>152</v>
      </c>
      <c r="F15" s="59" t="n">
        <v>14999.25</v>
      </c>
      <c r="G15" s="60" t="n">
        <v>0.75</v>
      </c>
      <c r="H15" s="61" t="n">
        <v>135.7</v>
      </c>
      <c r="I15" s="62" t="n">
        <v>110.532</v>
      </c>
    </row>
    <row r="16" customFormat="false" ht="15" hidden="false" customHeight="false" outlineLevel="0" collapsed="false">
      <c r="A16" s="34" t="n">
        <v>13</v>
      </c>
      <c r="B16" s="11" t="s">
        <v>133</v>
      </c>
      <c r="C16" s="10" t="s">
        <v>153</v>
      </c>
      <c r="D16" s="10" t="s">
        <v>154</v>
      </c>
      <c r="E16" s="10" t="s">
        <v>155</v>
      </c>
      <c r="F16" s="55" t="n">
        <v>19999</v>
      </c>
      <c r="G16" s="56" t="n">
        <v>1</v>
      </c>
      <c r="H16" s="57" t="n">
        <v>231.3603</v>
      </c>
      <c r="I16" s="58" t="n">
        <v>86.441</v>
      </c>
    </row>
    <row r="17" customFormat="false" ht="15" hidden="false" customHeight="false" outlineLevel="0" collapsed="false">
      <c r="A17" s="40" t="n">
        <v>14</v>
      </c>
      <c r="B17" s="15" t="s">
        <v>130</v>
      </c>
      <c r="C17" s="14" t="s">
        <v>156</v>
      </c>
      <c r="D17" s="14" t="s">
        <v>154</v>
      </c>
      <c r="E17" s="14" t="s">
        <v>157</v>
      </c>
      <c r="F17" s="59" t="n">
        <v>20000</v>
      </c>
      <c r="G17" s="60" t="n">
        <v>0</v>
      </c>
      <c r="H17" s="61" t="n">
        <v>42.5948</v>
      </c>
      <c r="I17" s="62" t="n">
        <v>469.541</v>
      </c>
    </row>
    <row r="18" customFormat="false" ht="15" hidden="false" customHeight="false" outlineLevel="0" collapsed="false">
      <c r="A18" s="19" t="s">
        <v>23</v>
      </c>
      <c r="B18" s="19"/>
      <c r="C18" s="19"/>
      <c r="D18" s="19"/>
      <c r="E18" s="19"/>
      <c r="F18" s="63" t="n">
        <f aca="false">SUM(F4:F17)</f>
        <v>224994</v>
      </c>
      <c r="G18" s="20" t="n">
        <f aca="false">SUM(G4:G17)</f>
        <v>6</v>
      </c>
      <c r="H18" s="19"/>
      <c r="I18" s="64" t="n">
        <f aca="false">SUM(I4:I17)</f>
        <v>1728.356</v>
      </c>
    </row>
  </sheetData>
  <mergeCells count="2">
    <mergeCell ref="A1:I1"/>
    <mergeCell ref="A18:E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42"/>
  </cols>
  <sheetData>
    <row r="1" customFormat="false" ht="24" hidden="false" customHeight="true" outlineLevel="0" collapsed="false">
      <c r="A1" s="1" t="s">
        <v>158</v>
      </c>
      <c r="B1" s="1"/>
      <c r="C1" s="1"/>
      <c r="D1" s="1"/>
      <c r="E1" s="1"/>
    </row>
    <row r="3" customFormat="false" ht="15" hidden="false" customHeight="false" outlineLevel="0" collapsed="false">
      <c r="A3" s="9" t="s">
        <v>159</v>
      </c>
      <c r="B3" s="9" t="s">
        <v>160</v>
      </c>
      <c r="C3" s="9" t="s">
        <v>161</v>
      </c>
      <c r="D3" s="9" t="s">
        <v>162</v>
      </c>
      <c r="E3" s="9" t="s">
        <v>163</v>
      </c>
    </row>
    <row r="4" customFormat="false" ht="15" hidden="false" customHeight="false" outlineLevel="0" collapsed="false">
      <c r="A4" s="11" t="s">
        <v>164</v>
      </c>
      <c r="B4" s="55" t="n">
        <v>2500038.74</v>
      </c>
      <c r="C4" s="11" t="s">
        <v>67</v>
      </c>
      <c r="D4" s="11" t="s">
        <v>67</v>
      </c>
      <c r="E4" s="10" t="s">
        <v>165</v>
      </c>
    </row>
    <row r="5" customFormat="false" ht="15" hidden="false" customHeight="false" outlineLevel="0" collapsed="false">
      <c r="A5" s="15" t="s">
        <v>166</v>
      </c>
      <c r="B5" s="59" t="n">
        <v>2322799.11</v>
      </c>
      <c r="C5" s="65" t="n">
        <f aca="false">B5-B4</f>
        <v>-177239.63</v>
      </c>
      <c r="D5" s="66" t="n">
        <f aca="false">C5/B4</f>
        <v>-0.0708947534149012</v>
      </c>
      <c r="E5" s="14"/>
    </row>
    <row r="6" customFormat="false" ht="15" hidden="false" customHeight="false" outlineLevel="0" collapsed="false">
      <c r="A6" s="11" t="s">
        <v>167</v>
      </c>
      <c r="B6" s="55" t="n">
        <v>2162739.25</v>
      </c>
      <c r="C6" s="67" t="n">
        <f aca="false">B6-B5</f>
        <v>-160059.86</v>
      </c>
      <c r="D6" s="68" t="n">
        <f aca="false">C6/B5</f>
        <v>-0.068908180354865</v>
      </c>
      <c r="E6" s="10"/>
    </row>
    <row r="7" customFormat="false" ht="15" hidden="false" customHeight="false" outlineLevel="0" collapsed="false">
      <c r="A7" s="15" t="s">
        <v>168</v>
      </c>
      <c r="B7" s="59" t="n">
        <v>2316507.54</v>
      </c>
      <c r="C7" s="65" t="n">
        <f aca="false">B7-B6</f>
        <v>153768.29</v>
      </c>
      <c r="D7" s="66" t="n">
        <f aca="false">C7/B6</f>
        <v>0.0710988576177179</v>
      </c>
      <c r="E7" s="14"/>
    </row>
    <row r="8" customFormat="false" ht="15" hidden="false" customHeight="false" outlineLevel="0" collapsed="false">
      <c r="A8" s="11" t="s">
        <v>169</v>
      </c>
      <c r="B8" s="55" t="n">
        <v>2423164.11</v>
      </c>
      <c r="C8" s="67" t="n">
        <f aca="false">B8-B7</f>
        <v>106656.57</v>
      </c>
      <c r="D8" s="68" t="n">
        <f aca="false">C8/B7</f>
        <v>0.0460419697144607</v>
      </c>
      <c r="E8" s="10"/>
    </row>
    <row r="9" customFormat="false" ht="15" hidden="false" customHeight="false" outlineLevel="0" collapsed="false">
      <c r="A9" s="15" t="s">
        <v>170</v>
      </c>
      <c r="B9" s="59" t="n">
        <v>2664259.92</v>
      </c>
      <c r="C9" s="65" t="n">
        <f aca="false">B9-B8</f>
        <v>241095.81</v>
      </c>
      <c r="D9" s="66" t="n">
        <f aca="false">C9/B8</f>
        <v>0.0994962780296379</v>
      </c>
      <c r="E9" s="14"/>
    </row>
    <row r="10" customFormat="false" ht="15" hidden="false" customHeight="false" outlineLevel="0" collapsed="false">
      <c r="A10" s="11" t="s">
        <v>171</v>
      </c>
      <c r="B10" s="55" t="n">
        <v>3039086.24</v>
      </c>
      <c r="C10" s="67" t="n">
        <f aca="false">B10-B9</f>
        <v>374826.32</v>
      </c>
      <c r="D10" s="68" t="n">
        <f aca="false">C10/B9</f>
        <v>0.140686844097403</v>
      </c>
      <c r="E10" s="10"/>
    </row>
    <row r="11" customFormat="false" ht="15" hidden="false" customHeight="false" outlineLevel="0" collapsed="false">
      <c r="A11" s="15" t="s">
        <v>172</v>
      </c>
      <c r="B11" s="59" t="n">
        <v>3536911.41</v>
      </c>
      <c r="C11" s="65" t="n">
        <f aca="false">B11-B10</f>
        <v>497825.17</v>
      </c>
      <c r="D11" s="66" t="n">
        <f aca="false">C11/B10</f>
        <v>0.163807516696203</v>
      </c>
      <c r="E11" s="14" t="s">
        <v>173</v>
      </c>
    </row>
    <row r="12" customFormat="false" ht="15" hidden="false" customHeight="false" outlineLevel="0" collapsed="false">
      <c r="A12" s="11" t="s">
        <v>174</v>
      </c>
      <c r="B12" s="55" t="n">
        <v>3533863.16</v>
      </c>
      <c r="C12" s="67" t="n">
        <f aca="false">B12-B11</f>
        <v>-3048.25</v>
      </c>
      <c r="D12" s="68" t="n">
        <f aca="false">C12/B11</f>
        <v>-0.000861839510987356</v>
      </c>
      <c r="E12" s="10"/>
    </row>
    <row r="13" customFormat="false" ht="15" hidden="false" customHeight="false" outlineLevel="0" collapsed="false">
      <c r="A13" s="15" t="s">
        <v>175</v>
      </c>
      <c r="B13" s="59" t="n">
        <v>3610224.65</v>
      </c>
      <c r="C13" s="65" t="n">
        <f aca="false">B13-B12</f>
        <v>76361.4899999998</v>
      </c>
      <c r="D13" s="66" t="n">
        <f aca="false">C13/B12</f>
        <v>0.0216085022375342</v>
      </c>
      <c r="E13" s="14"/>
    </row>
    <row r="14" customFormat="false" ht="15" hidden="false" customHeight="false" outlineLevel="0" collapsed="false">
      <c r="A14" s="11" t="s">
        <v>176</v>
      </c>
      <c r="B14" s="55" t="n">
        <v>3739936.62</v>
      </c>
      <c r="C14" s="67" t="n">
        <f aca="false">B14-B13</f>
        <v>129711.97</v>
      </c>
      <c r="D14" s="68" t="n">
        <f aca="false">C14/B13</f>
        <v>0.0359290577665299</v>
      </c>
      <c r="E14" s="10"/>
    </row>
    <row r="15" customFormat="false" ht="15" hidden="false" customHeight="false" outlineLevel="0" collapsed="false">
      <c r="A15" s="15" t="s">
        <v>177</v>
      </c>
      <c r="B15" s="59" t="n">
        <v>3796066.66</v>
      </c>
      <c r="C15" s="65" t="n">
        <f aca="false">B15-B14</f>
        <v>56130.04</v>
      </c>
      <c r="D15" s="66" t="n">
        <f aca="false">C15/B14</f>
        <v>0.0150082864238486</v>
      </c>
      <c r="E15" s="14"/>
    </row>
    <row r="16" customFormat="false" ht="15" hidden="false" customHeight="false" outlineLevel="0" collapsed="false">
      <c r="A16" s="11" t="s">
        <v>178</v>
      </c>
      <c r="B16" s="55" t="n">
        <v>3785197.27</v>
      </c>
      <c r="C16" s="67" t="n">
        <f aca="false">B16-B15</f>
        <v>-10869.3900000001</v>
      </c>
      <c r="D16" s="68" t="n">
        <f aca="false">C16/B15</f>
        <v>-0.00286332959179387</v>
      </c>
      <c r="E16" s="10" t="s">
        <v>179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4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36"/>
    <col collapsed="false" customWidth="true" hidden="false" outlineLevel="0" max="8" min="7" style="0" width="14"/>
  </cols>
  <sheetData>
    <row r="1" customFormat="false" ht="24" hidden="false" customHeight="true" outlineLevel="0" collapsed="false">
      <c r="A1" s="1" t="s">
        <v>180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181</v>
      </c>
      <c r="B2" s="3" t="s">
        <v>182</v>
      </c>
      <c r="C2" s="3"/>
      <c r="D2" s="3"/>
      <c r="E2" s="3"/>
      <c r="F2" s="3"/>
      <c r="G2" s="3"/>
      <c r="H2" s="3"/>
    </row>
    <row r="4" customFormat="false" ht="15" hidden="false" customHeight="false" outlineLevel="0" collapsed="false">
      <c r="A4" s="9" t="s">
        <v>69</v>
      </c>
      <c r="B4" s="9" t="s">
        <v>183</v>
      </c>
      <c r="C4" s="9" t="s">
        <v>44</v>
      </c>
      <c r="D4" s="9" t="s">
        <v>84</v>
      </c>
      <c r="E4" s="9" t="s">
        <v>85</v>
      </c>
      <c r="F4" s="9" t="s">
        <v>184</v>
      </c>
      <c r="G4" s="9" t="s">
        <v>117</v>
      </c>
      <c r="H4" s="9" t="s">
        <v>185</v>
      </c>
    </row>
    <row r="5" customFormat="false" ht="15" hidden="false" customHeight="false" outlineLevel="0" collapsed="false">
      <c r="A5" s="69" t="s">
        <v>186</v>
      </c>
      <c r="B5" s="69"/>
      <c r="C5" s="69"/>
      <c r="D5" s="69"/>
      <c r="E5" s="69"/>
      <c r="F5" s="69"/>
      <c r="G5" s="69"/>
      <c r="H5" s="69"/>
    </row>
  </sheetData>
  <mergeCells count="3">
    <mergeCell ref="A1:H1"/>
    <mergeCell ref="B2:H2"/>
    <mergeCell ref="A5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2026-03-26T08:37:43Z</dcterms:created>
  <dc:creator>openpyxl</dc:creator>
  <dc:description/>
  <dc:language>en-US</dc:language>
  <cp:lastModifiedBy/>
  <dcterms:modified xsi:type="dcterms:W3CDTF">2026-03-26T08:37:43Z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